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/>
  <mc:AlternateContent xmlns:mc="http://schemas.openxmlformats.org/markup-compatibility/2006">
    <mc:Choice Requires="x15">
      <x15ac:absPath xmlns:x15ac="http://schemas.microsoft.com/office/spreadsheetml/2010/11/ac" url="https://d.docs.live.net/356556ffbb6f7973/Documents/"/>
    </mc:Choice>
  </mc:AlternateContent>
  <xr:revisionPtr revIDLastSave="271" documentId="8_{DC3F012F-40D4-435A-926D-E9B2175F820B}" xr6:coauthVersionLast="47" xr6:coauthVersionMax="47" xr10:uidLastSave="{1C24FB7A-ABE9-40C3-84D1-E71407AB3A91}"/>
  <bookViews>
    <workbookView xWindow="-110" yWindow="-110" windowWidth="19420" windowHeight="10300" xr2:uid="{8528C5D4-FE96-4990-8954-9E01A9CC92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H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tc={D50C56BC-973E-4B29-A188-5C3654A690C2}</author>
    <author>tc={BDF77964-8852-47D9-8A0E-A178B5C13C48}</author>
    <author>tc={522661DE-1F84-46E1-91AC-3F7CD9562298}</author>
  </authors>
  <commentList>
    <comment ref="A1" authorId="0" shapeId="0" xr:uid="{D50C56BC-973E-4B29-A188-5C3654A690C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by merge and center</t>
      </text>
    </comment>
    <comment ref="H17" authorId="1" shapeId="0" xr:uid="{BDF77964-8852-47D9-8A0E-A178B5C13C48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ammount deposited</t>
      </text>
    </comment>
    <comment ref="I17" authorId="2" shapeId="0" xr:uid="{522661DE-1F84-46E1-91AC-3F7CD9562298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ammount left</t>
      </text>
    </comment>
  </commentList>
</comments>
</file>

<file path=xl/sharedStrings.xml><?xml version="1.0" encoding="utf-8"?>
<sst xmlns="http://schemas.openxmlformats.org/spreadsheetml/2006/main" count="53" uniqueCount="41">
  <si>
    <t xml:space="preserve">Readflix library </t>
  </si>
  <si>
    <t>Name</t>
  </si>
  <si>
    <t>Lib_id</t>
  </si>
  <si>
    <t>Lib.card No.</t>
  </si>
  <si>
    <t>Phone No.</t>
  </si>
  <si>
    <t>Address</t>
  </si>
  <si>
    <t xml:space="preserve">No. of book issued </t>
  </si>
  <si>
    <t>Mail_id</t>
  </si>
  <si>
    <t>Ammount submitted</t>
  </si>
  <si>
    <t>Ammount left</t>
  </si>
  <si>
    <t>Date of Addmission</t>
  </si>
  <si>
    <t>Keshav</t>
  </si>
  <si>
    <t>xyz</t>
  </si>
  <si>
    <t>Keshav@mail.com</t>
  </si>
  <si>
    <t>Amir</t>
  </si>
  <si>
    <t>abc</t>
  </si>
  <si>
    <t>amir@mail.com</t>
  </si>
  <si>
    <t>Rahul</t>
  </si>
  <si>
    <t>rahul@mail.com</t>
  </si>
  <si>
    <t>Zohan</t>
  </si>
  <si>
    <t>zohan@mail.com</t>
  </si>
  <si>
    <t>Salman</t>
  </si>
  <si>
    <t>salman@mail.com</t>
  </si>
  <si>
    <t>Abhishek</t>
  </si>
  <si>
    <t>abhishek@mail.com</t>
  </si>
  <si>
    <t>Sanskar</t>
  </si>
  <si>
    <t>sanskar@mail.com</t>
  </si>
  <si>
    <t>Garvit</t>
  </si>
  <si>
    <t>garvit@mail.com</t>
  </si>
  <si>
    <t>Aadesh</t>
  </si>
  <si>
    <t>aadesh@mail.com</t>
  </si>
  <si>
    <t>Vikas</t>
  </si>
  <si>
    <t>vikas@mail.com</t>
  </si>
  <si>
    <t>Madhurima</t>
  </si>
  <si>
    <t>madhurima@mail.com</t>
  </si>
  <si>
    <t>Sakshi</t>
  </si>
  <si>
    <t>sakshi@mail.com</t>
  </si>
  <si>
    <t>Ayushi</t>
  </si>
  <si>
    <t>ayushi@mail.com</t>
  </si>
  <si>
    <t>vertical lookup</t>
  </si>
  <si>
    <t>final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</si>
</sst>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dd\,\ d\ mmmm\,\ yyyy;@"/>
    <numFmt numFmtId="165" formatCode="&quot;₹&quot;\ #,##0.00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28"/>
      <color rgb="FFC00000"/>
      <name val="Arial Narrow"/>
      <family val="2"/>
    </font>
    <font>
      <sz val="11"/>
      <color rgb="FFC00000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Arial Narrow"/>
      <family val="2"/>
    </font>
    <font>
      <b/>
      <i/>
      <sz val="11"/>
      <color theme="1"/>
      <name val="Arial Narrow"/>
      <family val="2"/>
    </font>
    <font>
      <b/>
      <i/>
      <u/>
      <sz val="11"/>
      <color theme="10"/>
      <name val="Arial Narrow"/>
      <family val="2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0" fillId="0" borderId="0"/>
  </cellStyleXfs>
  <cellXfs count="22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0" borderId="0" xfId="0" applyFont="1"/>
    <xf numFmtId="0" fontId="10" fillId="0" borderId="0" xfId="2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31AADE87-63E3-4DED-A167-EAC9A770C00F}"/>
  </cellStyles>
  <dxfs count="28">
    <dxf>
      <numFmt numFmtId="0" formatCode="General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[$-14009]dddd\,\ d\ mmmm\,\ 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numFmt numFmtId="164" formatCode="[$-14009]dddd\,\ d\ mmmm\,\ 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numFmt numFmtId="165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numFmt numFmtId="165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arrow"/>
        <family val="2"/>
        <scheme val="none"/>
      </font>
    </dxf>
    <dxf>
      <font>
        <strike val="0"/>
        <outline val="0"/>
        <shadow val="0"/>
        <vertAlign val="baseline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shav Beriwal" id="{9A83E69A-485B-47CF-BC3A-B9FE0C8AF928}" userId="356556ffbb6f797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3873A-D8D8-49A5-95B0-07EBF58EBD44}" name="Table1" displayName="Table1" ref="A3:J17" totalsRowCount="1" headerRowDxfId="27" dataDxfId="26" totalsRowDxfId="25">
  <autoFilter ref="A3:J16" xr:uid="{FA03873A-D8D8-49A5-95B0-07EBF58EBD44}"/>
  <tableColumns count="10">
    <tableColumn id="1" xr3:uid="{30EFCE2A-C290-4EF8-A63C-838CB5365891}" name="Name" dataDxfId="24" totalsRowDxfId="23"/>
    <tableColumn id="2" xr3:uid="{B197E8E8-4C57-4A1E-ACD8-506A3B89D01C}" name="Lib_id" dataDxfId="22" totalsRowDxfId="21"/>
    <tableColumn id="3" xr3:uid="{89CCF552-9724-4FD3-8C28-CEEC149A76DB}" name="Lib.card No." dataDxfId="20" totalsRowDxfId="19"/>
    <tableColumn id="4" xr3:uid="{2021A296-1FCF-4BC7-B0FF-C2FEC753C426}" name="Phone No." dataDxfId="18" totalsRowDxfId="17"/>
    <tableColumn id="5" xr3:uid="{9A4647DF-85C1-4148-B646-57E6EFCAA824}" name="Address" dataDxfId="16" totalsRowDxfId="15"/>
    <tableColumn id="6" xr3:uid="{718EB877-3768-4038-9E29-DE9D0D5F62DA}" name="No. of book issued " dataDxfId="14" totalsRowDxfId="13"/>
    <tableColumn id="7" xr3:uid="{BB1FF64F-81E0-4E0F-9B37-E9F9BF00B5EC}" name="Mail_id" dataDxfId="12" totalsRowDxfId="11" dataCellStyle="Hyperlink" totalsRowCellStyle="Hyperlink"/>
    <tableColumn id="8" xr3:uid="{B3363942-D0CA-4380-BBD8-DDFF628BB48B}" name="Ammount submitted" totalsRowFunction="sum" dataDxfId="10" totalsRowDxfId="9"/>
    <tableColumn id="9" xr3:uid="{170A9D4E-2134-4E9A-B1B1-E3092E7DD0BC}" name="Ammount left" totalsRowFunction="sum" dataDxfId="8" totalsRowDxfId="7"/>
    <tableColumn id="10" xr3:uid="{CEE4513C-6CC5-4A31-BDA8-FCC86643D1E8}" name="Date of Addmission" dataDxfId="6" totalsRowDxfId="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79DC1A-D755-4139-B679-D54D162FBF77}" name="Table3" displayName="Table3" ref="L5:M19" totalsRowShown="0" headerRowDxfId="2">
  <autoFilter ref="L5:M19" xr:uid="{0379DC1A-D755-4139-B679-D54D162FBF77}"/>
  <tableColumns count="2">
    <tableColumn id="1" xr3:uid="{59127D7E-4847-4C2D-84F2-A35A4C255038}" name="Name" dataDxfId="1" dataCellStyle="Normal 2"/>
    <tableColumn id="2" xr3:uid="{CF27CDE0-A2F8-4641-AAF7-3CB476BF2EB9}" name="final mark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10T12:17:37.47" personId="{9A83E69A-485B-47CF-BC3A-B9FE0C8AF928}" id="{D50C56BC-973E-4B29-A188-5C3654A690C2}">
    <text>Done by merge and center</text>
  </threadedComment>
  <threadedComment ref="H17" dT="2025-09-10T12:20:31.44" personId="{9A83E69A-485B-47CF-BC3A-B9FE0C8AF928}" id="{BDF77964-8852-47D9-8A0E-A178B5C13C48}">
    <text>Sum of ammount deposited</text>
  </threadedComment>
  <threadedComment ref="I17" dT="2025-09-10T12:21:14.07" personId="{9A83E69A-485B-47CF-BC3A-B9FE0C8AF928}" id="{522661DE-1F84-46E1-91AC-3F7CD9562298}">
    <text>Sum of ammount left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shek@mail.com" TargetMode="External"/><Relationship Id="rId13" Type="http://schemas.openxmlformats.org/officeDocument/2006/relationships/hyperlink" Target="mailto:Keshav@mail.com" TargetMode="External"/><Relationship Id="rId18" Type="http://schemas.microsoft.com/office/2017/10/relationships/threadedComment" Target="../threadedComments/threadedComment1.xml"/><Relationship Id="rId3" Type="http://schemas.openxmlformats.org/officeDocument/2006/relationships/hyperlink" Target="mailto:madhurima@mail.com" TargetMode="External"/><Relationship Id="rId7" Type="http://schemas.openxmlformats.org/officeDocument/2006/relationships/hyperlink" Target="mailto:sanskar@mail.com" TargetMode="External"/><Relationship Id="rId12" Type="http://schemas.openxmlformats.org/officeDocument/2006/relationships/hyperlink" Target="mailto:amir@mail.com" TargetMode="External"/><Relationship Id="rId17" Type="http://schemas.openxmlformats.org/officeDocument/2006/relationships/comments" Target="../comments1.xml"/><Relationship Id="rId2" Type="http://schemas.openxmlformats.org/officeDocument/2006/relationships/hyperlink" Target="mailto:sakshi@mail.com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ayushi@mail.com" TargetMode="External"/><Relationship Id="rId6" Type="http://schemas.openxmlformats.org/officeDocument/2006/relationships/hyperlink" Target="mailto:garvit@mail.com" TargetMode="External"/><Relationship Id="rId11" Type="http://schemas.openxmlformats.org/officeDocument/2006/relationships/hyperlink" Target="mailto:rahul@mail.com" TargetMode="External"/><Relationship Id="rId5" Type="http://schemas.openxmlformats.org/officeDocument/2006/relationships/hyperlink" Target="mailto:aadesh@mail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zohan@mail.com" TargetMode="External"/><Relationship Id="rId4" Type="http://schemas.openxmlformats.org/officeDocument/2006/relationships/hyperlink" Target="mailto:vikas@mail.com" TargetMode="External"/><Relationship Id="rId9" Type="http://schemas.openxmlformats.org/officeDocument/2006/relationships/hyperlink" Target="mailto:salman@mail.com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35D3-2E4A-4A45-8D87-06B18798A848}">
  <dimension ref="A1:EK20"/>
  <sheetViews>
    <sheetView tabSelected="1" zoomScale="73" workbookViewId="0">
      <selection activeCell="M6" sqref="M6"/>
    </sheetView>
  </sheetViews>
  <sheetFormatPr defaultRowHeight="14.5" x14ac:dyDescent="0.35"/>
  <cols>
    <col min="1" max="1" width="9.81640625" bestFit="1" customWidth="1"/>
    <col min="2" max="2" width="9.453125" customWidth="1"/>
    <col min="3" max="3" width="15" customWidth="1"/>
    <col min="4" max="4" width="13.453125" customWidth="1"/>
    <col min="5" max="5" width="10.54296875" customWidth="1"/>
    <col min="6" max="6" width="20.26953125" customWidth="1"/>
    <col min="7" max="7" width="20.453125" customWidth="1"/>
    <col min="8" max="8" width="21.1796875" customWidth="1"/>
    <col min="9" max="9" width="15.1796875" customWidth="1"/>
    <col min="10" max="10" width="23.54296875" customWidth="1"/>
    <col min="11" max="11" width="16.453125" bestFit="1" customWidth="1"/>
  </cols>
  <sheetData>
    <row r="1" spans="1:14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4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4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41" ht="23.5" x14ac:dyDescent="0.55000000000000004">
      <c r="A4" s="3" t="s">
        <v>11</v>
      </c>
      <c r="B4" s="3">
        <v>1</v>
      </c>
      <c r="C4" s="3">
        <v>7456</v>
      </c>
      <c r="D4" s="3">
        <v>3456987634</v>
      </c>
      <c r="E4" s="3" t="s">
        <v>12</v>
      </c>
      <c r="F4" s="4">
        <v>6</v>
      </c>
      <c r="G4" s="5" t="s">
        <v>13</v>
      </c>
      <c r="H4" s="6">
        <v>50000</v>
      </c>
      <c r="I4" s="6">
        <v>45000</v>
      </c>
      <c r="J4" s="7">
        <v>44009</v>
      </c>
      <c r="L4" s="19" t="s">
        <v>39</v>
      </c>
      <c r="M4" s="19"/>
    </row>
    <row r="5" spans="1:141" ht="16" x14ac:dyDescent="0.4">
      <c r="A5" s="3" t="s">
        <v>14</v>
      </c>
      <c r="B5" s="3">
        <v>2</v>
      </c>
      <c r="C5" s="3">
        <v>9786</v>
      </c>
      <c r="D5" s="3">
        <v>9876544456</v>
      </c>
      <c r="E5" s="3" t="s">
        <v>15</v>
      </c>
      <c r="F5" s="4">
        <v>8</v>
      </c>
      <c r="G5" s="5" t="s">
        <v>16</v>
      </c>
      <c r="H5" s="6">
        <v>90000</v>
      </c>
      <c r="I5" s="6">
        <v>78000</v>
      </c>
      <c r="J5" s="7">
        <v>44010</v>
      </c>
      <c r="L5" s="20" t="s">
        <v>1</v>
      </c>
      <c r="M5" s="20" t="s">
        <v>40</v>
      </c>
    </row>
    <row r="6" spans="1:141" ht="16" x14ac:dyDescent="0.4">
      <c r="A6" s="3" t="s">
        <v>17</v>
      </c>
      <c r="B6" s="3">
        <v>3</v>
      </c>
      <c r="C6" s="3">
        <v>3543</v>
      </c>
      <c r="D6" s="3">
        <v>4567876554</v>
      </c>
      <c r="E6" s="3" t="s">
        <v>12</v>
      </c>
      <c r="F6" s="3">
        <v>4</v>
      </c>
      <c r="G6" s="5" t="s">
        <v>18</v>
      </c>
      <c r="H6" s="6">
        <v>80000</v>
      </c>
      <c r="I6" s="6">
        <v>34000</v>
      </c>
      <c r="J6" s="7">
        <v>44011</v>
      </c>
      <c r="L6" s="21"/>
      <c r="M6" s="20"/>
    </row>
    <row r="7" spans="1:141" s="1" customFormat="1" ht="16" x14ac:dyDescent="0.35">
      <c r="A7" s="8" t="s">
        <v>19</v>
      </c>
      <c r="B7" s="8">
        <v>4</v>
      </c>
      <c r="C7" s="8">
        <v>4634</v>
      </c>
      <c r="D7" s="8">
        <v>3456798985</v>
      </c>
      <c r="E7" s="8" t="s">
        <v>15</v>
      </c>
      <c r="F7" s="8">
        <v>2</v>
      </c>
      <c r="G7" s="9" t="s">
        <v>20</v>
      </c>
      <c r="H7" s="10">
        <v>100000</v>
      </c>
      <c r="I7" s="10">
        <v>234567</v>
      </c>
      <c r="J7" s="11">
        <v>44012</v>
      </c>
      <c r="K7"/>
      <c r="L7" s="21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</row>
    <row r="8" spans="1:141" ht="16" x14ac:dyDescent="0.35">
      <c r="A8" s="3" t="s">
        <v>21</v>
      </c>
      <c r="B8" s="3">
        <v>5</v>
      </c>
      <c r="C8" s="3">
        <v>6745</v>
      </c>
      <c r="D8" s="3">
        <v>3456787654</v>
      </c>
      <c r="E8" s="3" t="s">
        <v>12</v>
      </c>
      <c r="F8" s="3">
        <v>4</v>
      </c>
      <c r="G8" s="5" t="s">
        <v>22</v>
      </c>
      <c r="H8" s="6">
        <v>63000</v>
      </c>
      <c r="I8" s="6">
        <v>98765</v>
      </c>
      <c r="J8" s="7">
        <v>44013</v>
      </c>
      <c r="L8" s="21"/>
    </row>
    <row r="9" spans="1:141" ht="16" x14ac:dyDescent="0.35">
      <c r="A9" s="3" t="s">
        <v>23</v>
      </c>
      <c r="B9" s="3">
        <v>6</v>
      </c>
      <c r="C9" s="3">
        <v>1243</v>
      </c>
      <c r="D9" s="3">
        <v>4567890987</v>
      </c>
      <c r="E9" s="3" t="s">
        <v>15</v>
      </c>
      <c r="F9" s="3">
        <v>4</v>
      </c>
      <c r="G9" s="5" t="s">
        <v>24</v>
      </c>
      <c r="H9" s="6">
        <v>72000</v>
      </c>
      <c r="I9" s="6">
        <v>345678</v>
      </c>
      <c r="J9" s="7">
        <v>44014</v>
      </c>
      <c r="L9" s="21"/>
    </row>
    <row r="10" spans="1:141" ht="16" x14ac:dyDescent="0.35">
      <c r="A10" s="3" t="s">
        <v>25</v>
      </c>
      <c r="B10" s="3">
        <v>7</v>
      </c>
      <c r="C10" s="3">
        <v>7465</v>
      </c>
      <c r="D10" s="3">
        <v>9876456787</v>
      </c>
      <c r="E10" s="3" t="s">
        <v>12</v>
      </c>
      <c r="F10" s="3">
        <v>3</v>
      </c>
      <c r="G10" s="5" t="s">
        <v>26</v>
      </c>
      <c r="H10" s="6">
        <v>82000</v>
      </c>
      <c r="I10" s="6">
        <v>745698</v>
      </c>
      <c r="J10" s="7">
        <v>44015</v>
      </c>
      <c r="L10" s="21"/>
    </row>
    <row r="11" spans="1:141" ht="16" x14ac:dyDescent="0.35">
      <c r="A11" s="8" t="s">
        <v>27</v>
      </c>
      <c r="B11" s="8">
        <v>8</v>
      </c>
      <c r="C11" s="8">
        <v>3575</v>
      </c>
      <c r="D11" s="8">
        <v>9876123444</v>
      </c>
      <c r="E11" s="8" t="s">
        <v>15</v>
      </c>
      <c r="F11" s="8">
        <v>1</v>
      </c>
      <c r="G11" s="9" t="s">
        <v>28</v>
      </c>
      <c r="H11" s="10">
        <v>256000</v>
      </c>
      <c r="I11" s="10">
        <v>679876</v>
      </c>
      <c r="J11" s="11">
        <v>44016</v>
      </c>
      <c r="L11" s="21"/>
    </row>
    <row r="12" spans="1:141" ht="16" x14ac:dyDescent="0.35">
      <c r="A12" s="3" t="s">
        <v>29</v>
      </c>
      <c r="B12" s="3">
        <v>9</v>
      </c>
      <c r="C12" s="3">
        <v>9647</v>
      </c>
      <c r="D12" s="3">
        <v>9874567875</v>
      </c>
      <c r="E12" s="3" t="s">
        <v>12</v>
      </c>
      <c r="F12" s="3">
        <v>5</v>
      </c>
      <c r="G12" s="5" t="s">
        <v>30</v>
      </c>
      <c r="H12" s="6">
        <v>61000</v>
      </c>
      <c r="I12" s="6">
        <v>789876</v>
      </c>
      <c r="J12" s="7">
        <v>44017</v>
      </c>
      <c r="L12" s="21"/>
    </row>
    <row r="13" spans="1:141" ht="16" x14ac:dyDescent="0.35">
      <c r="A13" s="3" t="s">
        <v>31</v>
      </c>
      <c r="B13" s="3">
        <v>10</v>
      </c>
      <c r="C13" s="3">
        <v>5675</v>
      </c>
      <c r="D13" s="3">
        <v>9873458764</v>
      </c>
      <c r="E13" s="3" t="s">
        <v>15</v>
      </c>
      <c r="F13" s="3">
        <v>5</v>
      </c>
      <c r="G13" s="5" t="s">
        <v>32</v>
      </c>
      <c r="H13" s="6">
        <v>57000</v>
      </c>
      <c r="I13" s="6">
        <v>234565</v>
      </c>
      <c r="J13" s="7">
        <v>44018</v>
      </c>
      <c r="L13" s="21"/>
    </row>
    <row r="14" spans="1:141" ht="16" x14ac:dyDescent="0.35">
      <c r="A14" s="3" t="s">
        <v>33</v>
      </c>
      <c r="B14" s="3">
        <v>11</v>
      </c>
      <c r="C14" s="3">
        <v>5858</v>
      </c>
      <c r="D14" s="3">
        <v>9873458764</v>
      </c>
      <c r="E14" s="3" t="s">
        <v>12</v>
      </c>
      <c r="F14" s="3">
        <v>3</v>
      </c>
      <c r="G14" s="5" t="s">
        <v>34</v>
      </c>
      <c r="H14" s="6">
        <v>76000</v>
      </c>
      <c r="I14" s="6">
        <v>56987</v>
      </c>
      <c r="J14" s="7">
        <v>44019</v>
      </c>
      <c r="L14" s="21"/>
    </row>
    <row r="15" spans="1:141" ht="16" x14ac:dyDescent="0.35">
      <c r="A15" s="8" t="s">
        <v>35</v>
      </c>
      <c r="B15" s="8">
        <v>12</v>
      </c>
      <c r="C15" s="8">
        <v>4746</v>
      </c>
      <c r="D15" s="8">
        <v>6874587649</v>
      </c>
      <c r="E15" s="8" t="s">
        <v>15</v>
      </c>
      <c r="F15" s="8">
        <v>5</v>
      </c>
      <c r="G15" s="9" t="s">
        <v>36</v>
      </c>
      <c r="H15" s="10">
        <v>182000</v>
      </c>
      <c r="I15" s="10">
        <v>765679</v>
      </c>
      <c r="J15" s="11">
        <v>44020</v>
      </c>
      <c r="L15" s="21"/>
    </row>
    <row r="16" spans="1:141" ht="16" x14ac:dyDescent="0.35">
      <c r="A16" s="3" t="s">
        <v>37</v>
      </c>
      <c r="B16" s="3">
        <v>13</v>
      </c>
      <c r="C16" s="3">
        <v>3464</v>
      </c>
      <c r="D16" s="3">
        <v>9845763645</v>
      </c>
      <c r="E16" s="3" t="s">
        <v>12</v>
      </c>
      <c r="F16" s="3">
        <v>3</v>
      </c>
      <c r="G16" s="5" t="s">
        <v>38</v>
      </c>
      <c r="H16" s="6">
        <v>50000</v>
      </c>
      <c r="I16" s="6">
        <v>45000</v>
      </c>
      <c r="J16" s="7">
        <v>44021</v>
      </c>
      <c r="L16" s="21"/>
    </row>
    <row r="17" spans="1:12" ht="16" x14ac:dyDescent="0.35">
      <c r="A17" s="12"/>
      <c r="B17" s="12"/>
      <c r="C17" s="12"/>
      <c r="D17" s="12"/>
      <c r="E17" s="12"/>
      <c r="F17" s="12"/>
      <c r="G17" s="13"/>
      <c r="H17" s="14">
        <f>SUBTOTAL(109,Table1[Ammount submitted])</f>
        <v>1219000</v>
      </c>
      <c r="I17" s="14">
        <f>SUBTOTAL(109,Table1[Ammount left])</f>
        <v>4153691</v>
      </c>
      <c r="J17" s="15"/>
      <c r="L17" s="21"/>
    </row>
    <row r="18" spans="1:12" ht="16" x14ac:dyDescent="0.35">
      <c r="L18" s="21"/>
    </row>
    <row r="19" spans="1:12" ht="16" x14ac:dyDescent="0.35">
      <c r="L19" s="21"/>
    </row>
    <row r="20" spans="1:12" x14ac:dyDescent="0.35">
      <c r="B20" s="18"/>
    </row>
  </sheetData>
  <mergeCells count="2">
    <mergeCell ref="A1:J2"/>
    <mergeCell ref="L4:M4"/>
  </mergeCells>
  <conditionalFormatting sqref="F4:F1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{4C36E223-8303-4744-A071-73D71BA88702}</x14:id>
        </ext>
      </extLst>
    </cfRule>
  </conditionalFormatting>
  <conditionalFormatting sqref="H4:H16">
    <cfRule type="top10" dxfId="4" priority="2" rank="5"/>
    <cfRule type="top10" dxfId="3" priority="3" rank="5"/>
  </conditionalFormatting>
  <hyperlinks>
    <hyperlink ref="G16" r:id="rId1" xr:uid="{9CA2FB41-4F5F-47D5-B2E3-C4A21EEBD817}"/>
    <hyperlink ref="G15" r:id="rId2" xr:uid="{981463B7-5D41-4A0C-93B5-65C1541D68C4}"/>
    <hyperlink ref="G14" r:id="rId3" xr:uid="{5DCE49BC-38B2-49DA-8169-FAC3FE9FF3AF}"/>
    <hyperlink ref="G13" r:id="rId4" xr:uid="{F0F3C2E6-E3FC-429C-A571-57785458990F}"/>
    <hyperlink ref="G12" r:id="rId5" xr:uid="{DE95B591-5F23-47EF-9128-42D15F0E84D0}"/>
    <hyperlink ref="G11" r:id="rId6" xr:uid="{6A5FC091-0A54-4F9F-A73B-C5BD8C9D4D4D}"/>
    <hyperlink ref="G10" r:id="rId7" xr:uid="{A854912C-A24A-4E84-B8B9-838F3591B24E}"/>
    <hyperlink ref="G9" r:id="rId8" xr:uid="{58B28E5E-6646-4A98-9F4B-F8CEA4313C9D}"/>
    <hyperlink ref="G8" r:id="rId9" xr:uid="{1AF7C6F2-C3A7-4915-BF6A-E3F044AEE66E}"/>
    <hyperlink ref="G7" r:id="rId10" xr:uid="{EDDF7C09-09A8-4965-A47B-B20D9525B5AF}"/>
    <hyperlink ref="G6" r:id="rId11" xr:uid="{D5332583-6010-4FDA-9D20-4C109D8F4768}"/>
    <hyperlink ref="G5" r:id="rId12" xr:uid="{D862E696-64E3-40CD-802C-58C18DACAD00}"/>
    <hyperlink ref="G4" r:id="rId13" xr:uid="{2BD5CA25-37F3-46CA-91EA-5C37DBC4A94F}"/>
  </hyperlinks>
  <pageMargins left="0.7" right="0.7" top="0.75" bottom="0.75" header="0.3" footer="0.3"/>
  <legacyDrawing r:id="rId14"/>
  <tableParts count="2">
    <tablePart r:id="rId15"/>
    <tablePart r:id="rId1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36E223-8303-4744-A071-73D71BA887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F4:F16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Keshav Beriwal</dc:creator>
  <cp:keywords/>
  <dc:description/>
  <cp:lastModifiedBy>Keshav Beriwal</cp:lastModifiedBy>
  <cp:revision/>
  <dcterms:created xsi:type="dcterms:W3CDTF">2025-09-10T11:25:32Z</dcterms:created>
  <dcterms:modified xsi:type="dcterms:W3CDTF">2025-09-19T06:11:25Z</dcterms:modified>
  <cp:category/>
  <cp:contentStatus/>
</cp:coreProperties>
</file>